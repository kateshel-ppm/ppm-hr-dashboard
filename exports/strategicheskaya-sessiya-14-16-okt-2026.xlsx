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став" sheetId="1" state="visible" r:id="rId1"/>
    <sheet name="Сводка" sheetId="2" state="visible" r:id="rId2"/>
    <sheet name="Изменения" sheetId="3" state="visible" r:id="rId3"/>
  </sheets>
  <definedNames>
    <definedName name="_xlnm._FilterDatabase" localSheetId="0" hidden="1">'Состав'!$A$4:$L$36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1F3864"/>
    </font>
    <font>
      <name val="Arial"/>
    </font>
    <font>
      <name val="Arial"/>
      <i val="1"/>
    </font>
    <font>
      <name val="Arial"/>
      <color rgb="00595959"/>
      <sz val="9"/>
    </font>
    <font>
      <name val="Arial"/>
      <b val="1"/>
    </font>
    <font>
      <name val="Arial"/>
      <color rgb="00C00000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165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5" fillId="0" borderId="1" pivotButton="0" quotePrefix="0" xfId="0"/>
    <xf numFmtId="0" fontId="8" fillId="3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pivotButton="0" quotePrefix="0" xfId="0"/>
  </cellXfs>
  <cellStyles count="1">
    <cellStyle name="Normal" xfId="0" builtinId="0" hidden="0"/>
  </cellStyles>
  <dxfs count="3">
    <dxf>
      <font>
        <name val="Arial"/>
        <color rgb="00375623"/>
      </font>
      <fill>
        <patternFill patternType="solid">
          <fgColor rgb="00E2EFDA"/>
        </patternFill>
      </fill>
    </dxf>
    <dxf>
      <font>
        <name val="Arial"/>
        <color rgb="009C0006"/>
      </font>
      <fill>
        <patternFill patternType="solid">
          <fgColor rgb="00FCE4D6"/>
        </patternFill>
      </fill>
    </dxf>
    <dxf>
      <font>
        <name val="Arial"/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32" customWidth="1" min="3" max="3"/>
    <col width="17" customWidth="1" min="4" max="4"/>
    <col width="8" customWidth="1" min="5" max="5"/>
    <col width="8" customWidth="1" min="6" max="6"/>
    <col width="8" customWidth="1" min="7" max="7"/>
    <col width="12" customWidth="1" min="8" max="8"/>
    <col width="12" customWidth="1" min="9" max="9"/>
    <col width="8" customWidth="1" min="10" max="10"/>
    <col width="16" customWidth="1" min="11" max="11"/>
    <col width="48" customWidth="1" min="12" max="12"/>
  </cols>
  <sheetData>
    <row r="1">
      <c r="A1" s="1" t="inlineStr">
        <is>
          <t>Стратегическая сессия 14–16 октября 2026 — состав, билеты, отель</t>
        </is>
      </c>
    </row>
    <row r="2" ht="28" customHeight="1">
      <c r="A2" s="2" t="inlineStr">
        <is>
          <t>Актуализировано 25.09.2026 · сессия перенесена с 7–9 на 14–16 октября · города — по штатке на 15.09.2026, Назаренко — на 24.09.2026, Шияфетдинов и Давыдов — со слов (в штатке пока нет)</t>
        </is>
      </c>
    </row>
    <row r="4">
      <c r="A4" s="3" t="inlineStr">
        <is>
          <t>№</t>
        </is>
      </c>
      <c r="B4" s="3" t="inlineStr">
        <is>
          <t>ФИО</t>
        </is>
      </c>
      <c r="C4" s="3" t="inlineStr">
        <is>
          <t>Отдел</t>
        </is>
      </c>
      <c r="D4" s="3" t="inlineStr">
        <is>
          <t>Город</t>
        </is>
      </c>
      <c r="E4" s="3" t="inlineStr">
        <is>
          <t>14 окт</t>
        </is>
      </c>
      <c r="F4" s="3" t="inlineStr">
        <is>
          <t>15 окт</t>
        </is>
      </c>
      <c r="G4" s="3" t="inlineStr">
        <is>
          <t>16 окт</t>
        </is>
      </c>
      <c r="H4" s="3" t="inlineStr">
        <is>
          <t>Заезд</t>
        </is>
      </c>
      <c r="I4" s="3" t="inlineStr">
        <is>
          <t>Выезд</t>
        </is>
      </c>
      <c r="J4" s="3" t="inlineStr">
        <is>
          <t>Ночей</t>
        </is>
      </c>
      <c r="K4" s="3" t="inlineStr">
        <is>
          <t>Билеты</t>
        </is>
      </c>
      <c r="L4" s="3" t="inlineStr">
        <is>
          <t>Примечание</t>
        </is>
      </c>
    </row>
    <row r="5">
      <c r="A5" s="4" t="inlineStr">
        <is>
          <t>ВСЕ ТРИ ДНЯ · 14–16 ОКТЯБРЯ · ЗАЕЗД В ОТЕЛЬ 13 ОКТЯБРЯ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6" t="n"/>
    </row>
    <row r="6">
      <c r="A6" s="7" t="n">
        <v>1</v>
      </c>
      <c r="B6" s="8" t="inlineStr">
        <is>
          <t>Чермошенцев Вадим</t>
        </is>
      </c>
      <c r="C6" s="8" t="inlineStr">
        <is>
          <t>Управление (CEO)</t>
        </is>
      </c>
      <c r="D6" s="7" t="inlineStr">
        <is>
          <t>Москва</t>
        </is>
      </c>
      <c r="E6" s="7" t="inlineStr">
        <is>
          <t>Да</t>
        </is>
      </c>
      <c r="F6" s="7" t="inlineStr">
        <is>
          <t>Да</t>
        </is>
      </c>
      <c r="G6" s="7" t="inlineStr">
        <is>
          <t>Да</t>
        </is>
      </c>
      <c r="H6" s="9" t="n">
        <v>46308</v>
      </c>
      <c r="I6" s="9">
        <f>IF(D6="Москва",DATE(2026,10,16),DATE(2026,10,17))</f>
        <v/>
      </c>
      <c r="J6" s="10">
        <f>I6-H6</f>
        <v/>
      </c>
      <c r="K6" s="7">
        <f>IF(D6="Москва","не нужны","14 окт / 17 окт")</f>
        <v/>
      </c>
      <c r="L6" s="8" t="inlineStr"/>
    </row>
    <row r="7">
      <c r="A7" s="7" t="n">
        <v>2</v>
      </c>
      <c r="B7" s="8" t="inlineStr">
        <is>
          <t>Печенев Андрей</t>
        </is>
      </c>
      <c r="C7" s="8" t="inlineStr">
        <is>
          <t>Управление (ИИ-директор)</t>
        </is>
      </c>
      <c r="D7" s="7" t="inlineStr">
        <is>
          <t>Москва</t>
        </is>
      </c>
      <c r="E7" s="7" t="inlineStr">
        <is>
          <t>Да</t>
        </is>
      </c>
      <c r="F7" s="7" t="inlineStr">
        <is>
          <t>Да</t>
        </is>
      </c>
      <c r="G7" s="7" t="inlineStr">
        <is>
          <t>Да</t>
        </is>
      </c>
      <c r="H7" s="9" t="n">
        <v>46308</v>
      </c>
      <c r="I7" s="9">
        <f>IF(D7="Москва",DATE(2026,10,16),DATE(2026,10,17))</f>
        <v/>
      </c>
      <c r="J7" s="10">
        <f>I7-H7</f>
        <v/>
      </c>
      <c r="K7" s="7">
        <f>IF(D7="Москва","не нужны","14 окт / 17 окт")</f>
        <v/>
      </c>
      <c r="L7" s="8" t="inlineStr"/>
    </row>
    <row r="8">
      <c r="A8" s="7" t="n">
        <v>3</v>
      </c>
      <c r="B8" s="8" t="inlineStr">
        <is>
          <t>Шияфетдинов Дамир</t>
        </is>
      </c>
      <c r="C8" s="8" t="inlineStr">
        <is>
          <t>Управление (CDO)</t>
        </is>
      </c>
      <c r="D8" s="7" t="inlineStr">
        <is>
          <t>Москва</t>
        </is>
      </c>
      <c r="E8" s="7" t="inlineStr">
        <is>
          <t>Да</t>
        </is>
      </c>
      <c r="F8" s="7" t="inlineStr">
        <is>
          <t>Да</t>
        </is>
      </c>
      <c r="G8" s="7" t="inlineStr">
        <is>
          <t>Да</t>
        </is>
      </c>
      <c r="H8" s="9" t="n">
        <v>46308</v>
      </c>
      <c r="I8" s="9">
        <f>IF(D8="Москва",DATE(2026,10,16),DATE(2026,10,17))</f>
        <v/>
      </c>
      <c r="J8" s="10">
        <f>I8-H8</f>
        <v/>
      </c>
      <c r="K8" s="7">
        <f>IF(D8="Москва","не нужны","14 окт / 17 окт")</f>
        <v/>
      </c>
      <c r="L8" s="8" t="inlineStr">
        <is>
          <t>Добавлен 25.09.2026; в штатке пока нет — должность и город со слов</t>
        </is>
      </c>
    </row>
    <row r="9">
      <c r="A9" s="7" t="n">
        <v>4</v>
      </c>
      <c r="B9" s="8" t="inlineStr">
        <is>
          <t>Платохин Александр</t>
        </is>
      </c>
      <c r="C9" s="8" t="inlineStr">
        <is>
          <t>Коммерческий</t>
        </is>
      </c>
      <c r="D9" s="7" t="inlineStr">
        <is>
          <t>Москва</t>
        </is>
      </c>
      <c r="E9" s="7" t="inlineStr">
        <is>
          <t>Да</t>
        </is>
      </c>
      <c r="F9" s="7" t="inlineStr">
        <is>
          <t>Да</t>
        </is>
      </c>
      <c r="G9" s="7" t="inlineStr">
        <is>
          <t>Да</t>
        </is>
      </c>
      <c r="H9" s="9" t="n">
        <v>46308</v>
      </c>
      <c r="I9" s="9">
        <f>IF(D9="Москва",DATE(2026,10,16),DATE(2026,10,17))</f>
        <v/>
      </c>
      <c r="J9" s="10">
        <f>I9-H9</f>
        <v/>
      </c>
      <c r="K9" s="7">
        <f>IF(D9="Москва","не нужны","14 окт / 17 окт")</f>
        <v/>
      </c>
      <c r="L9" s="8" t="inlineStr"/>
    </row>
    <row r="10">
      <c r="A10" s="7" t="n">
        <v>5</v>
      </c>
      <c r="B10" s="8" t="inlineStr">
        <is>
          <t>Зеленцов Александр</t>
        </is>
      </c>
      <c r="C10" s="8" t="inlineStr">
        <is>
          <t>Финансовый</t>
        </is>
      </c>
      <c r="D10" s="7" t="inlineStr">
        <is>
          <t>Москва</t>
        </is>
      </c>
      <c r="E10" s="7" t="inlineStr">
        <is>
          <t>Да</t>
        </is>
      </c>
      <c r="F10" s="7" t="inlineStr">
        <is>
          <t>Да</t>
        </is>
      </c>
      <c r="G10" s="7" t="inlineStr">
        <is>
          <t>Да</t>
        </is>
      </c>
      <c r="H10" s="9" t="n">
        <v>46308</v>
      </c>
      <c r="I10" s="9">
        <f>IF(D10="Москва",DATE(2026,10,16),DATE(2026,10,17))</f>
        <v/>
      </c>
      <c r="J10" s="10">
        <f>I10-H10</f>
        <v/>
      </c>
      <c r="K10" s="7">
        <f>IF(D10="Москва","не нужны","14 окт / 17 окт")</f>
        <v/>
      </c>
      <c r="L10" s="8" t="inlineStr"/>
    </row>
    <row r="11">
      <c r="A11" s="7" t="n">
        <v>6</v>
      </c>
      <c r="B11" s="8" t="inlineStr">
        <is>
          <t>Головко Илья</t>
        </is>
      </c>
      <c r="C11" s="8" t="inlineStr">
        <is>
          <t>Продуктовый</t>
        </is>
      </c>
      <c r="D11" s="7" t="inlineStr">
        <is>
          <t>Москва</t>
        </is>
      </c>
      <c r="E11" s="7" t="inlineStr">
        <is>
          <t>Да</t>
        </is>
      </c>
      <c r="F11" s="7" t="inlineStr">
        <is>
          <t>Да</t>
        </is>
      </c>
      <c r="G11" s="7" t="inlineStr">
        <is>
          <t>Да</t>
        </is>
      </c>
      <c r="H11" s="9" t="n">
        <v>46308</v>
      </c>
      <c r="I11" s="9">
        <f>IF(D11="Москва",DATE(2026,10,16),DATE(2026,10,17))</f>
        <v/>
      </c>
      <c r="J11" s="10">
        <f>I11-H11</f>
        <v/>
      </c>
      <c r="K11" s="7">
        <f>IF(D11="Москва","не нужны","14 окт / 17 окт")</f>
        <v/>
      </c>
      <c r="L11" s="8" t="inlineStr"/>
    </row>
    <row r="12">
      <c r="A12" s="7" t="n">
        <v>7</v>
      </c>
      <c r="B12" s="8" t="inlineStr">
        <is>
          <t>Шеленкова Екатерина</t>
        </is>
      </c>
      <c r="C12" s="8" t="inlineStr">
        <is>
          <t>HR</t>
        </is>
      </c>
      <c r="D12" s="7" t="inlineStr">
        <is>
          <t>Москва</t>
        </is>
      </c>
      <c r="E12" s="7" t="inlineStr">
        <is>
          <t>Да</t>
        </is>
      </c>
      <c r="F12" s="7" t="inlineStr">
        <is>
          <t>Да</t>
        </is>
      </c>
      <c r="G12" s="7" t="inlineStr">
        <is>
          <t>Да</t>
        </is>
      </c>
      <c r="H12" s="9" t="n">
        <v>46308</v>
      </c>
      <c r="I12" s="9">
        <f>IF(D12="Москва",DATE(2026,10,16),DATE(2026,10,17))</f>
        <v/>
      </c>
      <c r="J12" s="10">
        <f>I12-H12</f>
        <v/>
      </c>
      <c r="K12" s="7">
        <f>IF(D12="Москва","не нужны","14 окт / 17 окт")</f>
        <v/>
      </c>
      <c r="L12" s="8" t="inlineStr"/>
    </row>
    <row r="13">
      <c r="A13" s="7" t="n">
        <v>8</v>
      </c>
      <c r="B13" s="8" t="inlineStr">
        <is>
          <t>Носенко Вячеслав</t>
        </is>
      </c>
      <c r="C13" s="8" t="inlineStr">
        <is>
          <t>Маркетинг</t>
        </is>
      </c>
      <c r="D13" s="7" t="inlineStr">
        <is>
          <t>Москва</t>
        </is>
      </c>
      <c r="E13" s="7" t="inlineStr">
        <is>
          <t>Да</t>
        </is>
      </c>
      <c r="F13" s="7" t="inlineStr">
        <is>
          <t>Да</t>
        </is>
      </c>
      <c r="G13" s="7" t="inlineStr">
        <is>
          <t>Да</t>
        </is>
      </c>
      <c r="H13" s="9" t="n">
        <v>46308</v>
      </c>
      <c r="I13" s="9">
        <f>IF(D13="Москва",DATE(2026,10,16),DATE(2026,10,17))</f>
        <v/>
      </c>
      <c r="J13" s="10">
        <f>I13-H13</f>
        <v/>
      </c>
      <c r="K13" s="7">
        <f>IF(D13="Москва","не нужны","14 окт / 17 окт")</f>
        <v/>
      </c>
      <c r="L13" s="8" t="inlineStr"/>
    </row>
    <row r="14">
      <c r="A14" s="7" t="n">
        <v>9</v>
      </c>
      <c r="B14" s="8" t="inlineStr">
        <is>
          <t>Панин Александр *</t>
        </is>
      </c>
      <c r="C14" s="8" t="inlineStr">
        <is>
          <t>Клиентский сервис</t>
        </is>
      </c>
      <c r="D14" s="7" t="inlineStr">
        <is>
          <t>Москва</t>
        </is>
      </c>
      <c r="E14" s="7" t="inlineStr">
        <is>
          <t>Да</t>
        </is>
      </c>
      <c r="F14" s="7" t="inlineStr">
        <is>
          <t>Да</t>
        </is>
      </c>
      <c r="G14" s="7" t="inlineStr">
        <is>
          <t>Да</t>
        </is>
      </c>
      <c r="H14" s="9" t="n">
        <v>46308</v>
      </c>
      <c r="I14" s="9">
        <f>IF(D14="Москва",DATE(2026,10,16),DATE(2026,10,17))</f>
        <v/>
      </c>
      <c r="J14" s="10">
        <f>I14-H14</f>
        <v/>
      </c>
      <c r="K14" s="7">
        <f>IF(D14="Москва","не нужны","14 окт / 17 окт")</f>
        <v/>
      </c>
      <c r="L14" s="8" t="inlineStr">
        <is>
          <t>* возможны изменения вводных, требуется согласование</t>
        </is>
      </c>
    </row>
    <row r="15">
      <c r="A15" s="7" t="n">
        <v>10</v>
      </c>
      <c r="B15" s="8" t="inlineStr">
        <is>
          <t>Чернышева Екатерина</t>
        </is>
      </c>
      <c r="C15" s="8" t="inlineStr">
        <is>
          <t>Юридический</t>
        </is>
      </c>
      <c r="D15" s="7" t="inlineStr">
        <is>
          <t>Москва</t>
        </is>
      </c>
      <c r="E15" s="7" t="inlineStr">
        <is>
          <t>Да</t>
        </is>
      </c>
      <c r="F15" s="7" t="inlineStr">
        <is>
          <t>Да</t>
        </is>
      </c>
      <c r="G15" s="7" t="inlineStr">
        <is>
          <t>Да</t>
        </is>
      </c>
      <c r="H15" s="9" t="n">
        <v>46308</v>
      </c>
      <c r="I15" s="9">
        <f>IF(D15="Москва",DATE(2026,10,16),DATE(2026,10,17))</f>
        <v/>
      </c>
      <c r="J15" s="10">
        <f>I15-H15</f>
        <v/>
      </c>
      <c r="K15" s="7">
        <f>IF(D15="Москва","не нужны","14 окт / 17 окт")</f>
        <v/>
      </c>
      <c r="L15" s="8" t="inlineStr"/>
    </row>
    <row r="16">
      <c r="A16" s="7" t="n">
        <v>11</v>
      </c>
      <c r="B16" s="8" t="inlineStr">
        <is>
          <t>Белов Павел</t>
        </is>
      </c>
      <c r="C16" s="8" t="inlineStr">
        <is>
          <t>Стратегические коммуникации (PR)</t>
        </is>
      </c>
      <c r="D16" s="7" t="inlineStr">
        <is>
          <t>Москва</t>
        </is>
      </c>
      <c r="E16" s="7" t="inlineStr">
        <is>
          <t>Да</t>
        </is>
      </c>
      <c r="F16" s="7" t="inlineStr">
        <is>
          <t>Да</t>
        </is>
      </c>
      <c r="G16" s="7" t="inlineStr">
        <is>
          <t>Да</t>
        </is>
      </c>
      <c r="H16" s="9" t="n">
        <v>46308</v>
      </c>
      <c r="I16" s="9">
        <f>IF(D16="Москва",DATE(2026,10,16),DATE(2026,10,17))</f>
        <v/>
      </c>
      <c r="J16" s="10">
        <f>I16-H16</f>
        <v/>
      </c>
      <c r="K16" s="7">
        <f>IF(D16="Москва","не нужны","14 окт / 17 окт")</f>
        <v/>
      </c>
      <c r="L16" s="8" t="inlineStr"/>
    </row>
    <row r="17">
      <c r="A17" s="7" t="n">
        <v>12</v>
      </c>
      <c r="B17" s="8" t="inlineStr">
        <is>
          <t>Зырянова Анна</t>
        </is>
      </c>
      <c r="C17" s="8" t="inlineStr">
        <is>
          <t>Директор по орг. развитию</t>
        </is>
      </c>
      <c r="D17" s="7" t="inlineStr">
        <is>
          <t>Москва</t>
        </is>
      </c>
      <c r="E17" s="7" t="inlineStr">
        <is>
          <t>Да</t>
        </is>
      </c>
      <c r="F17" s="7" t="inlineStr">
        <is>
          <t>Да</t>
        </is>
      </c>
      <c r="G17" s="7" t="inlineStr">
        <is>
          <t>Да</t>
        </is>
      </c>
      <c r="H17" s="9" t="n">
        <v>46308</v>
      </c>
      <c r="I17" s="9">
        <f>IF(D17="Москва",DATE(2026,10,16),DATE(2026,10,17))</f>
        <v/>
      </c>
      <c r="J17" s="10">
        <f>I17-H17</f>
        <v/>
      </c>
      <c r="K17" s="7">
        <f>IF(D17="Москва","не нужны","14 окт / 17 окт")</f>
        <v/>
      </c>
      <c r="L17" s="8" t="inlineStr">
        <is>
          <t>Выходит на работу 01.10.2026</t>
        </is>
      </c>
    </row>
    <row r="18">
      <c r="A18" s="4" t="inlineStr">
        <is>
          <t>СО 2-ГО ДНЯ · 15–16 ОКТЯБРЯ · ЗАЕЗД В ОТЕЛЬ 14 ОКТЯБРЯ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6" t="n"/>
    </row>
    <row r="19">
      <c r="A19" s="7" t="n">
        <v>13</v>
      </c>
      <c r="B19" s="8" t="inlineStr">
        <is>
          <t>Лопатина Александра</t>
        </is>
      </c>
      <c r="C19" s="8" t="inlineStr">
        <is>
          <t>Продажи (пластик)</t>
        </is>
      </c>
      <c r="D19" s="7" t="inlineStr">
        <is>
          <t>Москва</t>
        </is>
      </c>
      <c r="E19" s="7" t="inlineStr">
        <is>
          <t>Нет</t>
        </is>
      </c>
      <c r="F19" s="7" t="inlineStr">
        <is>
          <t>Да</t>
        </is>
      </c>
      <c r="G19" s="7" t="inlineStr">
        <is>
          <t>Да</t>
        </is>
      </c>
      <c r="H19" s="9" t="n">
        <v>46309</v>
      </c>
      <c r="I19" s="9">
        <f>IF(D19="Москва",DATE(2026,10,16),DATE(2026,10,17))</f>
        <v/>
      </c>
      <c r="J19" s="10">
        <f>I19-H19</f>
        <v/>
      </c>
      <c r="K19" s="7">
        <f>IF(D19="Москва","не нужны","14 окт / 17 окт")</f>
        <v/>
      </c>
      <c r="L19" s="8" t="inlineStr"/>
    </row>
    <row r="20">
      <c r="A20" s="7" t="n">
        <v>14</v>
      </c>
      <c r="B20" s="8" t="inlineStr">
        <is>
          <t>Волкова Екатерина</t>
        </is>
      </c>
      <c r="C20" s="8" t="inlineStr">
        <is>
          <t>Партнёрский</t>
        </is>
      </c>
      <c r="D20" s="7" t="inlineStr">
        <is>
          <t>Москва</t>
        </is>
      </c>
      <c r="E20" s="7" t="inlineStr">
        <is>
          <t>Нет</t>
        </is>
      </c>
      <c r="F20" s="7" t="inlineStr">
        <is>
          <t>Да</t>
        </is>
      </c>
      <c r="G20" s="7" t="inlineStr">
        <is>
          <t>Да</t>
        </is>
      </c>
      <c r="H20" s="9" t="n">
        <v>46309</v>
      </c>
      <c r="I20" s="9">
        <f>IF(D20="Москва",DATE(2026,10,16),DATE(2026,10,17))</f>
        <v/>
      </c>
      <c r="J20" s="10">
        <f>I20-H20</f>
        <v/>
      </c>
      <c r="K20" s="7">
        <f>IF(D20="Москва","не нужны","14 окт / 17 окт")</f>
        <v/>
      </c>
      <c r="L20" s="8" t="inlineStr"/>
    </row>
    <row r="21">
      <c r="A21" s="7" t="n">
        <v>15</v>
      </c>
      <c r="B21" s="8" t="inlineStr">
        <is>
          <t>Коломиец Даниил *</t>
        </is>
      </c>
      <c r="C21" s="8" t="inlineStr">
        <is>
          <t>Реферальный</t>
        </is>
      </c>
      <c r="D21" s="7" t="inlineStr">
        <is>
          <t>Москва</t>
        </is>
      </c>
      <c r="E21" s="7" t="inlineStr">
        <is>
          <t>Нет</t>
        </is>
      </c>
      <c r="F21" s="7" t="inlineStr">
        <is>
          <t>Да</t>
        </is>
      </c>
      <c r="G21" s="7" t="inlineStr">
        <is>
          <t>Да</t>
        </is>
      </c>
      <c r="H21" s="9" t="n">
        <v>46309</v>
      </c>
      <c r="I21" s="9">
        <f>IF(D21="Москва",DATE(2026,10,16),DATE(2026,10,17))</f>
        <v/>
      </c>
      <c r="J21" s="10">
        <f>I21-H21</f>
        <v/>
      </c>
      <c r="K21" s="7">
        <f>IF(D21="Москва","не нужны","14 окт / 17 окт")</f>
        <v/>
      </c>
      <c r="L21" s="8" t="inlineStr">
        <is>
          <t>* возможны изменения вводных, требуется согласование</t>
        </is>
      </c>
    </row>
    <row r="22">
      <c r="A22" s="7" t="n">
        <v>16</v>
      </c>
      <c r="B22" s="8" t="inlineStr">
        <is>
          <t>Горбашёва Алёна</t>
        </is>
      </c>
      <c r="C22" s="8" t="inlineStr">
        <is>
          <t>Маркетинг (блогеры)</t>
        </is>
      </c>
      <c r="D22" s="7" t="inlineStr">
        <is>
          <t>Москва</t>
        </is>
      </c>
      <c r="E22" s="7" t="inlineStr">
        <is>
          <t>Нет</t>
        </is>
      </c>
      <c r="F22" s="7" t="inlineStr">
        <is>
          <t>Да</t>
        </is>
      </c>
      <c r="G22" s="7" t="inlineStr">
        <is>
          <t>Да</t>
        </is>
      </c>
      <c r="H22" s="9" t="n">
        <v>46309</v>
      </c>
      <c r="I22" s="9">
        <f>IF(D22="Москва",DATE(2026,10,16),DATE(2026,10,17))</f>
        <v/>
      </c>
      <c r="J22" s="10">
        <f>I22-H22</f>
        <v/>
      </c>
      <c r="K22" s="7">
        <f>IF(D22="Москва","не нужны","14 окт / 17 окт")</f>
        <v/>
      </c>
      <c r="L22" s="8" t="inlineStr"/>
    </row>
    <row r="23">
      <c r="A23" s="7" t="n">
        <v>17</v>
      </c>
      <c r="B23" s="8" t="inlineStr">
        <is>
          <t>Калабин Илья</t>
        </is>
      </c>
      <c r="C23" s="8" t="inlineStr">
        <is>
          <t>Маркетинг (перфоманс)</t>
        </is>
      </c>
      <c r="D23" s="7" t="inlineStr">
        <is>
          <t>Москва</t>
        </is>
      </c>
      <c r="E23" s="7" t="inlineStr">
        <is>
          <t>Нет</t>
        </is>
      </c>
      <c r="F23" s="7" t="inlineStr">
        <is>
          <t>Да</t>
        </is>
      </c>
      <c r="G23" s="7" t="inlineStr">
        <is>
          <t>Да</t>
        </is>
      </c>
      <c r="H23" s="9" t="n">
        <v>46309</v>
      </c>
      <c r="I23" s="9">
        <f>IF(D23="Москва",DATE(2026,10,16),DATE(2026,10,17))</f>
        <v/>
      </c>
      <c r="J23" s="10">
        <f>I23-H23</f>
        <v/>
      </c>
      <c r="K23" s="7">
        <f>IF(D23="Москва","не нужны","14 окт / 17 окт")</f>
        <v/>
      </c>
      <c r="L23" s="8" t="inlineStr">
        <is>
          <t>Переведён с 3-го дня на 2-й (23.09.2026)</t>
        </is>
      </c>
    </row>
    <row r="24">
      <c r="A24" s="7" t="n">
        <v>18</v>
      </c>
      <c r="B24" s="8" t="inlineStr">
        <is>
          <t>Очкаленко Вероника</t>
        </is>
      </c>
      <c r="C24" s="8" t="inlineStr">
        <is>
          <t>ОКК</t>
        </is>
      </c>
      <c r="D24" s="7" t="inlineStr">
        <is>
          <t>Москва</t>
        </is>
      </c>
      <c r="E24" s="7" t="inlineStr">
        <is>
          <t>Нет</t>
        </is>
      </c>
      <c r="F24" s="7" t="inlineStr">
        <is>
          <t>Да</t>
        </is>
      </c>
      <c r="G24" s="7" t="inlineStr">
        <is>
          <t>Да</t>
        </is>
      </c>
      <c r="H24" s="9" t="n">
        <v>46309</v>
      </c>
      <c r="I24" s="9">
        <f>IF(D24="Москва",DATE(2026,10,16),DATE(2026,10,17))</f>
        <v/>
      </c>
      <c r="J24" s="10">
        <f>I24-H24</f>
        <v/>
      </c>
      <c r="K24" s="7">
        <f>IF(D24="Москва","не нужны","14 окт / 17 окт")</f>
        <v/>
      </c>
      <c r="L24" s="8" t="inlineStr"/>
    </row>
    <row r="25">
      <c r="A25" s="7" t="n">
        <v>19</v>
      </c>
      <c r="B25" s="8" t="inlineStr">
        <is>
          <t>Мустафин Марат</t>
        </is>
      </c>
      <c r="C25" s="8" t="inlineStr">
        <is>
          <t>ИТ</t>
        </is>
      </c>
      <c r="D25" s="7" t="inlineStr">
        <is>
          <t>Санкт-Петербург</t>
        </is>
      </c>
      <c r="E25" s="7" t="inlineStr">
        <is>
          <t>Нет</t>
        </is>
      </c>
      <c r="F25" s="7" t="inlineStr">
        <is>
          <t>Да</t>
        </is>
      </c>
      <c r="G25" s="7" t="inlineStr">
        <is>
          <t>Да</t>
        </is>
      </c>
      <c r="H25" s="9" t="n">
        <v>46309</v>
      </c>
      <c r="I25" s="9">
        <f>IF(D25="Москва",DATE(2026,10,16),DATE(2026,10,17))</f>
        <v/>
      </c>
      <c r="J25" s="10">
        <f>I25-H25</f>
        <v/>
      </c>
      <c r="K25" s="7">
        <f>IF(D25="Москва","не нужны","14 окт / 17 окт")</f>
        <v/>
      </c>
      <c r="L25" s="8" t="inlineStr">
        <is>
          <t>Билеты куплены на 7 и 10 окт — поменять на 14 и 17 окт</t>
        </is>
      </c>
    </row>
    <row r="26">
      <c r="A26" s="7" t="n">
        <v>20</v>
      </c>
      <c r="B26" s="8" t="inlineStr">
        <is>
          <t>Судьбин Данила</t>
        </is>
      </c>
      <c r="C26" s="8" t="inlineStr">
        <is>
          <t>ИТ (разработка)</t>
        </is>
      </c>
      <c r="D26" s="7" t="inlineStr">
        <is>
          <t>Москва</t>
        </is>
      </c>
      <c r="E26" s="7" t="inlineStr">
        <is>
          <t>Нет</t>
        </is>
      </c>
      <c r="F26" s="7" t="inlineStr">
        <is>
          <t>Да</t>
        </is>
      </c>
      <c r="G26" s="7" t="inlineStr">
        <is>
          <t>Да</t>
        </is>
      </c>
      <c r="H26" s="9" t="n">
        <v>46309</v>
      </c>
      <c r="I26" s="9">
        <f>IF(D26="Москва",DATE(2026,10,16),DATE(2026,10,17))</f>
        <v/>
      </c>
      <c r="J26" s="10">
        <f>I26-H26</f>
        <v/>
      </c>
      <c r="K26" s="7">
        <f>IF(D26="Москва","не нужны","14 окт / 17 окт")</f>
        <v/>
      </c>
      <c r="L26" s="8" t="inlineStr"/>
    </row>
    <row r="27">
      <c r="A27" s="7" t="n">
        <v>21</v>
      </c>
      <c r="B27" s="8" t="inlineStr">
        <is>
          <t>Павлова Мария</t>
        </is>
      </c>
      <c r="C27" s="8" t="inlineStr">
        <is>
          <t>Продуктовый</t>
        </is>
      </c>
      <c r="D27" s="7" t="inlineStr">
        <is>
          <t>Санкт-Петербург</t>
        </is>
      </c>
      <c r="E27" s="7" t="inlineStr">
        <is>
          <t>Нет</t>
        </is>
      </c>
      <c r="F27" s="7" t="inlineStr">
        <is>
          <t>Да</t>
        </is>
      </c>
      <c r="G27" s="7" t="inlineStr">
        <is>
          <t>Да</t>
        </is>
      </c>
      <c r="H27" s="9" t="n">
        <v>46309</v>
      </c>
      <c r="I27" s="9">
        <f>IF(D27="Москва",DATE(2026,10,16),DATE(2026,10,17))</f>
        <v/>
      </c>
      <c r="J27" s="10">
        <f>I27-H27</f>
        <v/>
      </c>
      <c r="K27" s="7">
        <f>IF(D27="Москва","не нужны","14 окт / 17 окт")</f>
        <v/>
      </c>
      <c r="L27" s="8" t="inlineStr">
        <is>
          <t>Билеты куплены на 7 и 10 окт — поменять на 14 и 17 окт</t>
        </is>
      </c>
    </row>
    <row r="28">
      <c r="A28" s="7" t="n">
        <v>22</v>
      </c>
      <c r="B28" s="8" t="inlineStr">
        <is>
          <t>Назаренко Артём</t>
        </is>
      </c>
      <c r="C28" s="8" t="inlineStr">
        <is>
          <t>Продуктовый</t>
        </is>
      </c>
      <c r="D28" s="7" t="inlineStr">
        <is>
          <t>Москва</t>
        </is>
      </c>
      <c r="E28" s="7" t="inlineStr">
        <is>
          <t>Нет</t>
        </is>
      </c>
      <c r="F28" s="7" t="inlineStr">
        <is>
          <t>Да</t>
        </is>
      </c>
      <c r="G28" s="7" t="inlineStr">
        <is>
          <t>Да</t>
        </is>
      </c>
      <c r="H28" s="9" t="n">
        <v>46309</v>
      </c>
      <c r="I28" s="9">
        <f>IF(D28="Москва",DATE(2026,10,16),DATE(2026,10,17))</f>
        <v/>
      </c>
      <c r="J28" s="10">
        <f>I28-H28</f>
        <v/>
      </c>
      <c r="K28" s="7">
        <f>IF(D28="Москва","не нужны","14 окт / 17 окт")</f>
        <v/>
      </c>
      <c r="L28" s="8" t="inlineStr">
        <is>
          <t>Добавлен 24.09.2026 по просьбе И. Головко</t>
        </is>
      </c>
    </row>
    <row r="29">
      <c r="A29" s="7" t="n">
        <v>23</v>
      </c>
      <c r="B29" s="8" t="inlineStr">
        <is>
          <t>Давыдов Денис</t>
        </is>
      </c>
      <c r="C29" s="8" t="inlineStr">
        <is>
          <t>Техническая поддержка (руководитель)</t>
        </is>
      </c>
      <c r="D29" s="7" t="inlineStr">
        <is>
          <t>Москва</t>
        </is>
      </c>
      <c r="E29" s="7" t="inlineStr">
        <is>
          <t>Нет</t>
        </is>
      </c>
      <c r="F29" s="7" t="inlineStr">
        <is>
          <t>Да</t>
        </is>
      </c>
      <c r="G29" s="7" t="inlineStr">
        <is>
          <t>Да</t>
        </is>
      </c>
      <c r="H29" s="9" t="n">
        <v>46309</v>
      </c>
      <c r="I29" s="9">
        <f>IF(D29="Москва",DATE(2026,10,16),DATE(2026,10,17))</f>
        <v/>
      </c>
      <c r="J29" s="10">
        <f>I29-H29</f>
        <v/>
      </c>
      <c r="K29" s="7">
        <f>IF(D29="Москва","не нужны","14 окт / 17 окт")</f>
        <v/>
      </c>
      <c r="L29" s="8" t="inlineStr">
        <is>
          <t>Добавлен 25.09.2026; в штатке пока нет — должность и город со слов</t>
        </is>
      </c>
    </row>
    <row r="30">
      <c r="A30" s="4" t="inlineStr">
        <is>
          <t>ТОЛЬКО 3-Й ДЕНЬ · 16 ОКТЯБРЯ · ЗАЕЗД В ОТЕЛЬ 15 ОКТЯБРЯ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6" t="n"/>
    </row>
    <row r="31">
      <c r="A31" s="7" t="n">
        <v>24</v>
      </c>
      <c r="B31" s="8" t="inlineStr">
        <is>
          <t>Кирюхин Артём</t>
        </is>
      </c>
      <c r="C31" s="8" t="inlineStr">
        <is>
          <t>Маркетинг (SMM)</t>
        </is>
      </c>
      <c r="D31" s="7" t="inlineStr">
        <is>
          <t>Москва</t>
        </is>
      </c>
      <c r="E31" s="7" t="inlineStr">
        <is>
          <t>Нет</t>
        </is>
      </c>
      <c r="F31" s="7" t="inlineStr">
        <is>
          <t>Нет</t>
        </is>
      </c>
      <c r="G31" s="7" t="inlineStr">
        <is>
          <t>Да</t>
        </is>
      </c>
      <c r="H31" s="9" t="n">
        <v>46310</v>
      </c>
      <c r="I31" s="9">
        <f>IF(D31="Москва",DATE(2026,10,16),DATE(2026,10,17))</f>
        <v/>
      </c>
      <c r="J31" s="10">
        <f>I31-H31</f>
        <v/>
      </c>
      <c r="K31" s="7">
        <f>IF(D31="Москва","не нужны","14 окт / 17 окт")</f>
        <v/>
      </c>
      <c r="L31" s="8" t="inlineStr"/>
    </row>
    <row r="32">
      <c r="A32" s="7" t="n">
        <v>25</v>
      </c>
      <c r="B32" s="8" t="inlineStr">
        <is>
          <t>Абдулганиева Зарема</t>
        </is>
      </c>
      <c r="C32" s="8" t="inlineStr">
        <is>
          <t>Финансовый</t>
        </is>
      </c>
      <c r="D32" s="7" t="inlineStr">
        <is>
          <t>Москва</t>
        </is>
      </c>
      <c r="E32" s="7" t="inlineStr">
        <is>
          <t>Нет</t>
        </is>
      </c>
      <c r="F32" s="7" t="inlineStr">
        <is>
          <t>Нет</t>
        </is>
      </c>
      <c r="G32" s="7" t="inlineStr">
        <is>
          <t>Да</t>
        </is>
      </c>
      <c r="H32" s="9" t="n">
        <v>46310</v>
      </c>
      <c r="I32" s="9">
        <f>IF(D32="Москва",DATE(2026,10,16),DATE(2026,10,17))</f>
        <v/>
      </c>
      <c r="J32" s="10">
        <f>I32-H32</f>
        <v/>
      </c>
      <c r="K32" s="7">
        <f>IF(D32="Москва","не нужны","14 окт / 17 окт")</f>
        <v/>
      </c>
      <c r="L32" s="8" t="inlineStr"/>
    </row>
    <row r="33">
      <c r="A33" s="7" t="n">
        <v>26</v>
      </c>
      <c r="B33" s="8" t="inlineStr">
        <is>
          <t>Абдуллаев Магамед</t>
        </is>
      </c>
      <c r="C33" s="8" t="inlineStr">
        <is>
          <t>Продуктовый (delivery)</t>
        </is>
      </c>
      <c r="D33" s="7" t="inlineStr">
        <is>
          <t>Москва</t>
        </is>
      </c>
      <c r="E33" s="7" t="inlineStr">
        <is>
          <t>Нет</t>
        </is>
      </c>
      <c r="F33" s="7" t="inlineStr">
        <is>
          <t>Нет</t>
        </is>
      </c>
      <c r="G33" s="7" t="inlineStr">
        <is>
          <t>Да</t>
        </is>
      </c>
      <c r="H33" s="9" t="n">
        <v>46310</v>
      </c>
      <c r="I33" s="9">
        <f>IF(D33="Москва",DATE(2026,10,16),DATE(2026,10,17))</f>
        <v/>
      </c>
      <c r="J33" s="10">
        <f>I33-H33</f>
        <v/>
      </c>
      <c r="K33" s="7">
        <f>IF(D33="Москва","не нужны","14 окт / 17 окт")</f>
        <v/>
      </c>
      <c r="L33" s="8" t="inlineStr"/>
    </row>
    <row r="34">
      <c r="A34" s="7" t="n">
        <v>27</v>
      </c>
      <c r="B34" s="8" t="inlineStr">
        <is>
          <t>Соболев Станислав</t>
        </is>
      </c>
      <c r="C34" s="8" t="inlineStr">
        <is>
          <t>Стратегические партнёрства (BDM)</t>
        </is>
      </c>
      <c r="D34" s="7" t="inlineStr">
        <is>
          <t>Москва</t>
        </is>
      </c>
      <c r="E34" s="7" t="inlineStr">
        <is>
          <t>Нет</t>
        </is>
      </c>
      <c r="F34" s="7" t="inlineStr">
        <is>
          <t>Нет</t>
        </is>
      </c>
      <c r="G34" s="7" t="inlineStr">
        <is>
          <t>Да</t>
        </is>
      </c>
      <c r="H34" s="9" t="n">
        <v>46310</v>
      </c>
      <c r="I34" s="9">
        <f>IF(D34="Москва",DATE(2026,10,16),DATE(2026,10,17))</f>
        <v/>
      </c>
      <c r="J34" s="10">
        <f>I34-H34</f>
        <v/>
      </c>
      <c r="K34" s="7">
        <f>IF(D34="Москва","не нужны","14 окт / 17 окт")</f>
        <v/>
      </c>
      <c r="L34" s="8" t="inlineStr"/>
    </row>
    <row r="35">
      <c r="A35" s="7" t="n">
        <v>28</v>
      </c>
      <c r="B35" s="8" t="inlineStr">
        <is>
          <t>Ермохин Максим</t>
        </is>
      </c>
      <c r="C35" s="8" t="inlineStr">
        <is>
          <t>Стратегические коммуникации (PR)</t>
        </is>
      </c>
      <c r="D35" s="7" t="inlineStr">
        <is>
          <t>Москва</t>
        </is>
      </c>
      <c r="E35" s="7" t="inlineStr">
        <is>
          <t>Нет</t>
        </is>
      </c>
      <c r="F35" s="7" t="inlineStr">
        <is>
          <t>Нет</t>
        </is>
      </c>
      <c r="G35" s="7" t="inlineStr">
        <is>
          <t>Да</t>
        </is>
      </c>
      <c r="H35" s="9" t="n">
        <v>46310</v>
      </c>
      <c r="I35" s="9">
        <f>IF(D35="Москва",DATE(2026,10,16),DATE(2026,10,17))</f>
        <v/>
      </c>
      <c r="J35" s="10">
        <f>I35-H35</f>
        <v/>
      </c>
      <c r="K35" s="7">
        <f>IF(D35="Москва","не нужны","14 окт / 17 окт")</f>
        <v/>
      </c>
      <c r="L35" s="8" t="inlineStr"/>
    </row>
    <row r="36">
      <c r="A36" s="11" t="inlineStr">
        <is>
          <t>+</t>
        </is>
      </c>
      <c r="B36" s="12" t="inlineStr">
        <is>
          <t>Федорович Дарья</t>
        </is>
      </c>
      <c r="C36" s="12" t="inlineStr">
        <is>
          <t>Внешний фасилитатор (вне состава)</t>
        </is>
      </c>
      <c r="D36" s="11" t="inlineStr">
        <is>
          <t>Москва</t>
        </is>
      </c>
      <c r="E36" s="11" t="inlineStr">
        <is>
          <t>Да</t>
        </is>
      </c>
      <c r="F36" s="11" t="inlineStr">
        <is>
          <t>Да</t>
        </is>
      </c>
      <c r="G36" s="11" t="inlineStr">
        <is>
          <t>Да</t>
        </is>
      </c>
      <c r="H36" s="13" t="n">
        <v>46308</v>
      </c>
      <c r="I36" s="13" t="n">
        <v>46311</v>
      </c>
      <c r="J36" s="11">
        <f>I36-H36</f>
        <v/>
      </c>
      <c r="K36" s="11" t="inlineStr">
        <is>
          <t>не нужны</t>
        </is>
      </c>
      <c r="L36" s="12" t="inlineStr">
        <is>
          <t>В число 28 участников не входит; 29-й номер</t>
        </is>
      </c>
    </row>
    <row r="38">
      <c r="A38" s="14" t="inlineStr">
        <is>
          <t>* — возможны изменения вводных, требуется дополнительное согласование.</t>
        </is>
      </c>
    </row>
    <row r="39">
      <c r="A39" s="14" t="inlineStr">
        <is>
          <t>Заезд и город — вводные (редактируются). Выезд, ночи и билеты считаются формулами: москвичи выезжают 16 окт, иногородние — 17 окт.</t>
        </is>
      </c>
    </row>
    <row r="40">
      <c r="A40" s="14" t="inlineStr">
        <is>
          <t>Правило: заселение за день до начала участия; москвичи выселяются в последний день участия (16 окт), иногородние — на следующий день (17 окт).</t>
        </is>
      </c>
    </row>
  </sheetData>
  <autoFilter ref="A4:L36"/>
  <mergeCells count="8">
    <mergeCell ref="A30:L30"/>
    <mergeCell ref="A2:L2"/>
    <mergeCell ref="A38:L38"/>
    <mergeCell ref="A1:L1"/>
    <mergeCell ref="A5:L5"/>
    <mergeCell ref="A40:L40"/>
    <mergeCell ref="A18:L18"/>
    <mergeCell ref="A39:L39"/>
  </mergeCells>
  <conditionalFormatting sqref="E5:G36">
    <cfRule type="cellIs" priority="1" operator="equal" dxfId="0">
      <formula>"Да"</formula>
    </cfRule>
    <cfRule type="cellIs" priority="2" operator="equal" dxfId="1">
      <formula>"Нет"</formula>
    </cfRule>
  </conditionalFormatting>
  <conditionalFormatting sqref="K5:K36">
    <cfRule type="cellIs" priority="3" operator="notEqual" dxfId="2">
      <formula>"не нужны"</formula>
    </cfRule>
  </conditionalFormatting>
  <dataValidations count="1">
    <dataValidation sqref="E5:G36" showDropDown="0" showInputMessage="0" showErrorMessage="0" allowBlank="1" type="list">
      <formula1>"Да,Нет"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3" customWidth="1" min="3" max="3"/>
    <col width="24" customWidth="1" min="4" max="4"/>
    <col width="18" customWidth="1" min="5" max="5"/>
    <col width="18" customWidth="1" min="6" max="6"/>
    <col width="16" customWidth="1" min="7" max="7"/>
  </cols>
  <sheetData>
    <row r="1">
      <c r="A1" s="1" t="inlineStr">
        <is>
          <t>Сводка — участники, билеты, отель</t>
        </is>
      </c>
    </row>
    <row r="2">
      <c r="A2" s="15" t="inlineStr">
        <is>
          <t>Участники</t>
        </is>
      </c>
      <c r="B2" s="16" t="n"/>
      <c r="D2" s="15" t="inlineStr">
        <is>
          <t>Номеров занято по ночам</t>
        </is>
      </c>
      <c r="E2" s="16" t="n"/>
      <c r="F2" s="16" t="n"/>
      <c r="G2" s="16" t="n"/>
    </row>
    <row r="3">
      <c r="A3" s="17" t="inlineStr">
        <is>
          <t>Всего участников</t>
        </is>
      </c>
      <c r="B3" s="7">
        <f>COUNTIF('Состав'!$D$5:$D$35,"?*")</f>
        <v/>
      </c>
      <c r="D3" s="18" t="inlineStr">
        <is>
          <t>Ночь</t>
        </is>
      </c>
      <c r="E3" s="18" t="inlineStr">
        <is>
          <t>Участники</t>
        </is>
      </c>
      <c r="F3" s="18" t="inlineStr">
        <is>
          <t>С фасилитатором</t>
        </is>
      </c>
      <c r="G3" s="18" t="inlineStr">
        <is>
          <t>Дата ночи</t>
        </is>
      </c>
    </row>
    <row r="4">
      <c r="A4" s="17" t="inlineStr">
        <is>
          <t>Из Москвы</t>
        </is>
      </c>
      <c r="B4" s="7">
        <f>COUNTIF('Состав'!$D$5:$D$35,"Москва")</f>
        <v/>
      </c>
      <c r="D4" s="7" t="inlineStr">
        <is>
          <t>13/14</t>
        </is>
      </c>
      <c r="E4" s="7">
        <f>COUNTIFS('Состав'!$H$5:$H$35,"&lt;="&amp;G4,'Состав'!$I$5:$I$35,"&gt;"&amp;G4)</f>
        <v/>
      </c>
      <c r="F4" s="7">
        <f>COUNTIFS('Состав'!$H$5:$H$36,"&lt;="&amp;G4,'Состав'!$I$5:$I$36,"&gt;"&amp;G4)</f>
        <v/>
      </c>
      <c r="G4" s="9" t="n">
        <v>46308</v>
      </c>
    </row>
    <row r="5">
      <c r="A5" s="17" t="inlineStr">
        <is>
          <t>Иногородние</t>
        </is>
      </c>
      <c r="B5" s="7">
        <f>B3-B4</f>
        <v/>
      </c>
      <c r="D5" s="7" t="inlineStr">
        <is>
          <t>14/15</t>
        </is>
      </c>
      <c r="E5" s="7">
        <f>COUNTIFS('Состав'!$H$5:$H$35,"&lt;="&amp;G5,'Состав'!$I$5:$I$35,"&gt;"&amp;G5)</f>
        <v/>
      </c>
      <c r="F5" s="7">
        <f>COUNTIFS('Состав'!$H$5:$H$36,"&lt;="&amp;G5,'Состав'!$I$5:$I$36,"&gt;"&amp;G5)</f>
        <v/>
      </c>
      <c r="G5" s="9" t="n">
        <v>46309</v>
      </c>
    </row>
    <row r="6">
      <c r="A6" s="17" t="inlineStr">
        <is>
          <t>Комплектов билетов</t>
        </is>
      </c>
      <c r="B6" s="7">
        <f>COUNTIF('Состав'!$K$5:$K$35,"&lt;&gt;не нужны")</f>
        <v/>
      </c>
      <c r="D6" s="7" t="inlineStr">
        <is>
          <t>15/16</t>
        </is>
      </c>
      <c r="E6" s="7">
        <f>COUNTIFS('Состав'!$H$5:$H$35,"&lt;="&amp;G6,'Состав'!$I$5:$I$35,"&gt;"&amp;G6)</f>
        <v/>
      </c>
      <c r="F6" s="7">
        <f>COUNTIFS('Состав'!$H$5:$H$36,"&lt;="&amp;G6,'Состав'!$I$5:$I$36,"&gt;"&amp;G6)</f>
        <v/>
      </c>
      <c r="G6" s="9" t="n">
        <v>46310</v>
      </c>
    </row>
    <row r="7">
      <c r="A7" s="15" t="inlineStr">
        <is>
          <t>Участие по дням</t>
        </is>
      </c>
      <c r="B7" s="16" t="n"/>
      <c r="D7" s="7" t="inlineStr">
        <is>
          <t>16/17</t>
        </is>
      </c>
      <c r="E7" s="7">
        <f>COUNTIFS('Состав'!$H$5:$H$35,"&lt;="&amp;G7,'Состав'!$I$5:$I$35,"&gt;"&amp;G7)</f>
        <v/>
      </c>
      <c r="F7" s="7">
        <f>COUNTIFS('Состав'!$H$5:$H$36,"&lt;="&amp;G7,'Состав'!$I$5:$I$36,"&gt;"&amp;G7)</f>
        <v/>
      </c>
      <c r="G7" s="9" t="n">
        <v>46311</v>
      </c>
    </row>
    <row r="8">
      <c r="A8" s="17" t="inlineStr">
        <is>
          <t>14 окт</t>
        </is>
      </c>
      <c r="B8" s="7">
        <f>COUNTIF('Состав'!$E$5:$E$35,"Да")</f>
        <v/>
      </c>
      <c r="D8" s="19" t="inlineStr">
        <is>
          <t>Пик (с фасилитатором)</t>
        </is>
      </c>
      <c r="F8" s="20">
        <f>MAX(F4:F7)</f>
        <v/>
      </c>
    </row>
    <row r="9">
      <c r="A9" s="17" t="inlineStr">
        <is>
          <t>15 окт</t>
        </is>
      </c>
      <c r="B9" s="7">
        <f>COUNTIF('Состав'!$F$5:$F$35,"Да")</f>
        <v/>
      </c>
      <c r="D9" s="14" t="inlineStr">
        <is>
          <t>Пик приходится на ночь с 15 на 16 октября; в ночь с 16 на 17 остаются только иногородние.</t>
        </is>
      </c>
    </row>
    <row r="10">
      <c r="A10" s="17" t="inlineStr">
        <is>
          <t>16 окт</t>
        </is>
      </c>
      <c r="B10" s="7">
        <f>COUNTIF('Состав'!$G$5:$G$35,"Да")</f>
        <v/>
      </c>
    </row>
    <row r="11">
      <c r="A11" s="15" t="inlineStr">
        <is>
          <t>Человеко-ночи</t>
        </is>
      </c>
      <c r="B11" s="16" t="n"/>
      <c r="D11" s="15" t="inlineStr">
        <is>
          <t>Билеты</t>
        </is>
      </c>
      <c r="E11" s="16" t="n"/>
      <c r="F11" s="16" t="n"/>
      <c r="G11" s="16" t="n"/>
    </row>
    <row r="12">
      <c r="A12" s="17" t="inlineStr">
        <is>
          <t>Участники</t>
        </is>
      </c>
      <c r="B12" s="7">
        <f>SUM('Состав'!$J$5:$J$35)</f>
        <v/>
      </c>
      <c r="D12" s="18" t="inlineStr">
        <is>
          <t>ФИО</t>
        </is>
      </c>
      <c r="E12" s="18" t="inlineStr">
        <is>
          <t>Откуда</t>
        </is>
      </c>
      <c r="F12" s="18" t="inlineStr">
        <is>
          <t>Туда</t>
        </is>
      </c>
      <c r="G12" s="18" t="inlineStr">
        <is>
          <t>Обратно</t>
        </is>
      </c>
    </row>
    <row r="13">
      <c r="A13" s="17" t="inlineStr">
        <is>
          <t>Фасилитатор</t>
        </is>
      </c>
      <c r="B13" s="7">
        <f>'Состав'!J36</f>
        <v/>
      </c>
      <c r="D13" s="7" t="inlineStr">
        <is>
          <t>Мустафин Марат</t>
        </is>
      </c>
      <c r="E13" s="7" t="inlineStr">
        <is>
          <t>Санкт-Петербург</t>
        </is>
      </c>
      <c r="F13" s="7" t="inlineStr">
        <is>
          <t>14 окт → Москва</t>
        </is>
      </c>
      <c r="G13" s="7" t="inlineStr">
        <is>
          <t>17 окт → СПб</t>
        </is>
      </c>
    </row>
    <row r="14">
      <c r="A14" s="17" t="inlineStr">
        <is>
          <t>Всего</t>
        </is>
      </c>
      <c r="B14" s="21">
        <f>B12+B13</f>
        <v/>
      </c>
      <c r="D14" s="7" t="inlineStr">
        <is>
          <t>Павлова Мария</t>
        </is>
      </c>
      <c r="E14" s="7" t="inlineStr">
        <is>
          <t>Санкт-Петербург</t>
        </is>
      </c>
      <c r="F14" s="7" t="inlineStr">
        <is>
          <t>14 окт → Москва</t>
        </is>
      </c>
      <c r="G14" s="7" t="inlineStr">
        <is>
          <t>17 окт → СПб</t>
        </is>
      </c>
    </row>
    <row r="15">
      <c r="D15" s="22" t="inlineStr">
        <is>
          <t>Билеты были куплены на 7 и 10 октября — нужно поменять на 14 и 17 октября.</t>
        </is>
      </c>
    </row>
    <row r="17">
      <c r="D17" s="14" t="inlineStr">
        <is>
          <t>Для сравнения: июль 2026 — номера по ночам 10 / 18 / 27 / 7, ≈62 человеко-ночи при составе 27 (из сводки HR).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24" customWidth="1" min="3" max="3"/>
    <col width="80" customWidth="1" min="4" max="4"/>
  </cols>
  <sheetData>
    <row r="1">
      <c r="A1" s="1" t="inlineStr">
        <is>
          <t>Журнал изменений состава</t>
        </is>
      </c>
    </row>
    <row r="3">
      <c r="A3" s="3" t="inlineStr">
        <is>
          <t>Дата</t>
        </is>
      </c>
      <c r="B3" s="3" t="inlineStr">
        <is>
          <t>Тип</t>
        </is>
      </c>
      <c r="C3" s="3" t="inlineStr">
        <is>
          <t>ФИО</t>
        </is>
      </c>
      <c r="D3" s="3" t="inlineStr">
        <is>
          <t>Суть</t>
        </is>
      </c>
    </row>
    <row r="4">
      <c r="A4" s="7" t="inlineStr">
        <is>
          <t>15.09.2026</t>
        </is>
      </c>
      <c r="B4" s="7" t="inlineStr">
        <is>
          <t>Снят</t>
        </is>
      </c>
      <c r="C4" s="8" t="inlineStr">
        <is>
          <t>Божко Анастасия</t>
        </is>
      </c>
      <c r="D4" s="8" t="inlineStr">
        <is>
          <t>Клиентский сервис L1, Вологда</t>
        </is>
      </c>
    </row>
    <row r="5">
      <c r="A5" s="7" t="inlineStr">
        <is>
          <t>—</t>
        </is>
      </c>
      <c r="B5" s="7" t="inlineStr">
        <is>
          <t>Снят</t>
        </is>
      </c>
      <c r="C5" s="8" t="inlineStr">
        <is>
          <t>Слёзка Ирина</t>
        </is>
      </c>
      <c r="D5" s="8" t="inlineStr">
        <is>
          <t>Реферальный — отпуск на прежние даты 7–9 окт</t>
        </is>
      </c>
    </row>
    <row r="6">
      <c r="A6" s="7" t="inlineStr">
        <is>
          <t>—</t>
        </is>
      </c>
      <c r="B6" s="7" t="inlineStr">
        <is>
          <t>Снят</t>
        </is>
      </c>
      <c r="C6" s="8" t="inlineStr">
        <is>
          <t>Слёзка Дмитрий</t>
        </is>
      </c>
      <c r="D6" s="8" t="inlineStr">
        <is>
          <t>Партнёрский — отпуск на прежние даты 7–9 окт</t>
        </is>
      </c>
    </row>
    <row r="7">
      <c r="A7" s="7" t="inlineStr">
        <is>
          <t>21.09.2026</t>
        </is>
      </c>
      <c r="B7" s="7" t="inlineStr">
        <is>
          <t>Снят</t>
        </is>
      </c>
      <c r="C7" s="8" t="inlineStr">
        <is>
          <t>Мартыненко Алексей</t>
        </is>
      </c>
      <c r="D7" s="8" t="inlineStr">
        <is>
          <t>Управление, COO, Санкт-Петербург</t>
        </is>
      </c>
    </row>
    <row r="8">
      <c r="A8" s="7" t="inlineStr">
        <is>
          <t>23.09.2026</t>
        </is>
      </c>
      <c r="B8" s="7" t="inlineStr">
        <is>
          <t>Изменено участие</t>
        </is>
      </c>
      <c r="C8" s="8" t="inlineStr">
        <is>
          <t>Калабин Илья</t>
        </is>
      </c>
      <c r="D8" s="8" t="inlineStr">
        <is>
          <t>С 3-го дня переведён на 2-й: 15–16 окт, заезд 14 окт, 2 ночи</t>
        </is>
      </c>
    </row>
    <row r="9">
      <c r="A9" s="7" t="inlineStr">
        <is>
          <t>24.09.2026</t>
        </is>
      </c>
      <c r="B9" s="7" t="inlineStr">
        <is>
          <t>Добавлен</t>
        </is>
      </c>
      <c r="C9" s="8" t="inlineStr">
        <is>
          <t>Назаренко Артём</t>
        </is>
      </c>
      <c r="D9" s="8" t="inlineStr">
        <is>
          <t>Продуктовый, менеджер по продукту (в штате с 21.09.2026), со 2-го дня — по просьбе И. Головко</t>
        </is>
      </c>
    </row>
    <row r="10">
      <c r="A10" s="7" t="inlineStr">
        <is>
          <t>25.09.2026</t>
        </is>
      </c>
      <c r="B10" s="7" t="inlineStr">
        <is>
          <t>Перенос</t>
        </is>
      </c>
      <c r="C10" s="8" t="inlineStr">
        <is>
          <t>—</t>
        </is>
      </c>
      <c r="D10" s="8" t="inlineStr">
        <is>
          <t>Сессия перенесена с 7–9 на 14–16 октября; Сколково перенесло зал и номера без штрафов</t>
        </is>
      </c>
    </row>
    <row r="11">
      <c r="A11" s="7" t="inlineStr">
        <is>
          <t>25.09.2026</t>
        </is>
      </c>
      <c r="B11" s="7" t="inlineStr">
        <is>
          <t>Снят</t>
        </is>
      </c>
      <c r="C11" s="8" t="inlineStr">
        <is>
          <t>Попова Ксения</t>
        </is>
      </c>
      <c r="D11" s="8" t="inlineStr">
        <is>
          <t>HR</t>
        </is>
      </c>
    </row>
    <row r="12">
      <c r="A12" s="7" t="inlineStr">
        <is>
          <t>25.09.2026</t>
        </is>
      </c>
      <c r="B12" s="7" t="inlineStr">
        <is>
          <t>Добавлен</t>
        </is>
      </c>
      <c r="C12" s="8" t="inlineStr">
        <is>
          <t>Шияфетдинов Дамир</t>
        </is>
      </c>
      <c r="D12" s="8" t="inlineStr">
        <is>
          <t>Управление (CDO), все три дня, заезд 13 окт, 3 ночи</t>
        </is>
      </c>
    </row>
    <row r="13">
      <c r="A13" s="7" t="inlineStr">
        <is>
          <t>25.09.2026</t>
        </is>
      </c>
      <c r="B13" s="7" t="inlineStr">
        <is>
          <t>Добавлен</t>
        </is>
      </c>
      <c r="C13" s="8" t="inlineStr">
        <is>
          <t>Давыдов Денис</t>
        </is>
      </c>
      <c r="D13" s="8" t="inlineStr">
        <is>
          <t>Руководитель техподдержки, со 2-го дня, заезд 14 окт, 2 ночи</t>
        </is>
      </c>
    </row>
    <row r="14">
      <c r="A14" s="7" t="inlineStr">
        <is>
          <t>25.09.2026</t>
        </is>
      </c>
      <c r="B14" s="7" t="inlineStr">
        <is>
          <t>Уточнение</t>
        </is>
      </c>
      <c r="C14" s="8" t="inlineStr">
        <is>
          <t>Печенев Андрей</t>
        </is>
      </c>
      <c r="D14" s="8" t="inlineStr">
        <is>
          <t>Должность приведена к штатке: ИИ-директор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2026-09-28T08:07:23Z</dcterms:created>
  <dcterms:modified xsi:type="dcterms:W3CDTF">2026-09-28T08:07:23Z</dcterms:modified>
</cp:coreProperties>
</file>